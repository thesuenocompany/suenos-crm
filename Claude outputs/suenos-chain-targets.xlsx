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in targets" sheetId="1" state="visible" r:id="rId3"/>
  </sheets>
  <definedNames>
    <definedName function="false" hidden="true" localSheetId="0" name="_xlnm._FilterDatabase" vbProcedure="false">'Chain targets'!$A$6:$L$30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<sst xmlns="http://schemas.openxmlformats.org/spreadsheetml/2006/main" count="150" uniqueCount="84">
  <si>
    <t xml:space="preserve">BC liquor-store chain operators — call sheet</t>
  </si>
  <si>
    <t xml:space="preserve">24 multi-store operators control 105 stores Sueños does not hold. A chain buys centrally, so one conversation here is worth many store visits.</t>
  </si>
  <si>
    <t xml:space="preserve">Shaded rows are WARM — Sueños already has a listing or an active account inside that chain. Start there: it is an expansion call, not a cold one.</t>
  </si>
  <si>
    <t xml:space="preserve">Source: BC LCRB Licensed Establishments register, matched against CRM accounts, 15 Sep 2026. Wine Store licences excluded — they may not sell spirits (BC wine store handbook, p.19). Blank contacts still need research; 'research' in Channel means not yet found.</t>
  </si>
  <si>
    <t xml:space="preserve">Operator (licensee)</t>
  </si>
  <si>
    <t xml:space="preserve">Stores not held</t>
  </si>
  <si>
    <t xml:space="preserve">Accounts held</t>
  </si>
  <si>
    <t xml:space="preserve">Play</t>
  </si>
  <si>
    <t xml:space="preserve">Contact point</t>
  </si>
  <si>
    <t xml:space="preserve">Email / phone</t>
  </si>
  <si>
    <t xml:space="preserve">Channel</t>
  </si>
  <si>
    <t xml:space="preserve">Source</t>
  </si>
  <si>
    <t xml:space="preserve">Notes</t>
  </si>
  <si>
    <t xml:space="preserve">Owner</t>
  </si>
  <si>
    <t xml:space="preserve">Status</t>
  </si>
  <si>
    <t xml:space="preserve">Next action date</t>
  </si>
  <si>
    <t xml:space="preserve">Otter Farm &amp; Home Co-Operative</t>
  </si>
  <si>
    <t xml:space="preserve">Expand existing listing</t>
  </si>
  <si>
    <t xml:space="preserve">Otter Co-op head office — 3600 248 St, Aldergrove</t>
  </si>
  <si>
    <t xml:space="preserve">research</t>
  </si>
  <si>
    <t xml:space="preserve">angryotterliquor.crs</t>
  </si>
  <si>
    <t xml:space="preserve">ALREADY ACTIVE at Angry Otter Cherry Lane. 3 accounts, all repped. No head-office email or phone published online — get the liquor category contact from the Cherry Lane manager, who already knows us.</t>
  </si>
  <si>
    <t xml:space="preserve">Not started</t>
  </si>
  <si>
    <t xml:space="preserve">Mid-Island Consumer Services Co-operative</t>
  </si>
  <si>
    <t xml:space="preserve">Administration office, Nanaimo</t>
  </si>
  <si>
    <t xml:space="preserve">co-opadministration@midisland.crs</t>
  </si>
  <si>
    <t xml:space="preserve">email</t>
  </si>
  <si>
    <t xml:space="preserve">midislandco-op.crs/sites/midisland/membership/detail/contact-us</t>
  </si>
  <si>
    <t xml:space="preserve">ALREADY LISTED at 2 stores (Driftwood, Parksville Alberni Hwy). Best email target on this sheet.</t>
  </si>
  <si>
    <t xml:space="preserve">Northland Properties Corporation</t>
  </si>
  <si>
    <t xml:space="preserve">Northland Properties (Sandman group)</t>
  </si>
  <si>
    <t xml:space="preserve">ALREADY LISTED + ORDERING at Government Street Liquor Store (last order 2025-12-01).</t>
  </si>
  <si>
    <t xml:space="preserve">Peninsula Consumer Services Co-operative</t>
  </si>
  <si>
    <t xml:space="preserve">New chain approach</t>
  </si>
  <si>
    <t xml:space="preserve">Support Office, Saanichton</t>
  </si>
  <si>
    <t xml:space="preserve">250-652-5752</t>
  </si>
  <si>
    <t xml:space="preserve">phone</t>
  </si>
  <si>
    <t xml:space="preserve">peninsulaco-op.com/contact-us/</t>
  </si>
  <si>
    <t xml:space="preserve">Operates The Liquor Co. 1977 / PenCo Liquor. No email published; head office phone only.</t>
  </si>
  <si>
    <t xml:space="preserve">Paul Esposito's Restaurant (Abbotsford) Ltd.</t>
  </si>
  <si>
    <t xml:space="preserve">Six stores, Abbotsford and Langley. Operator contact not yet researched.</t>
  </si>
  <si>
    <t xml:space="preserve">Armstrong Regional Cooperative</t>
  </si>
  <si>
    <t xml:space="preserve">Kelowna, Revelstoke, Vernon. Co-op structure like Otter and Mid-Island.</t>
  </si>
  <si>
    <t xml:space="preserve">Everything Wine Inc.</t>
  </si>
  <si>
    <t xml:space="preserve">Customer service</t>
  </si>
  <si>
    <t xml:space="preserve">info@everythingwine.ca</t>
  </si>
  <si>
    <t xml:space="preserve">everythingwine.ca/customer-service</t>
  </si>
  <si>
    <t xml:space="preserve">Sells spirits despite the name. Already a Prospect account. Email is customer service, not buying.</t>
  </si>
  <si>
    <t xml:space="preserve">Liberty Wine Merchants Ltd.</t>
  </si>
  <si>
    <t xml:space="preserve">Five Vancouver / North Vancouver stores.</t>
  </si>
  <si>
    <t xml:space="preserve">0919150 B.C. Ltd.</t>
  </si>
  <si>
    <t xml:space="preserve">Numbered company, Abbotsford / Chilliwack / Mission.</t>
  </si>
  <si>
    <t xml:space="preserve">Huber Developments Ltd.</t>
  </si>
  <si>
    <t xml:space="preserve">Moonlight Liquor Store is already a Prospect. Cranbrook, Golden.</t>
  </si>
  <si>
    <t xml:space="preserve">K.C.B. Holdings Ltd.</t>
  </si>
  <si>
    <t xml:space="preserve">Kamloops, Williams Lake.</t>
  </si>
  <si>
    <t xml:space="preserve">L.J.D. PROPERTIES LTD.</t>
  </si>
  <si>
    <t xml:space="preserve">Langley, Vancouver.</t>
  </si>
  <si>
    <t xml:space="preserve">PACCO HOLDINGS LTD.</t>
  </si>
  <si>
    <t xml:space="preserve">Armstrong.</t>
  </si>
  <si>
    <t xml:space="preserve">Revscape Developments Ltd.</t>
  </si>
  <si>
    <t xml:space="preserve">Revelstoke.</t>
  </si>
  <si>
    <t xml:space="preserve">Sunshine Valley Recreation Inc.</t>
  </si>
  <si>
    <t xml:space="preserve">Hope, Manning Park.</t>
  </si>
  <si>
    <t xml:space="preserve">WESTGATE HOSPITALITY INC.</t>
  </si>
  <si>
    <t xml:space="preserve">Langley.</t>
  </si>
  <si>
    <t xml:space="preserve">0972682 BC Ltd.</t>
  </si>
  <si>
    <t xml:space="preserve">Campbell River, Powell River.</t>
  </si>
  <si>
    <t xml:space="preserve">1110163 B.C. LTD.</t>
  </si>
  <si>
    <t xml:space="preserve">Lone Butte.</t>
  </si>
  <si>
    <t xml:space="preserve">1243997 B.C. Ltd.</t>
  </si>
  <si>
    <t xml:space="preserve">Burns Lake, Nanaimo.</t>
  </si>
  <si>
    <t xml:space="preserve">1398103 B.C. LTD.</t>
  </si>
  <si>
    <t xml:space="preserve">Kamloops, Prince George.</t>
  </si>
  <si>
    <t xml:space="preserve">Blind Bay Village Grocer Ltd.</t>
  </si>
  <si>
    <t xml:space="preserve">Blind Bay, Sorrento.</t>
  </si>
  <si>
    <t xml:space="preserve">Cascadia Liquor (Allandale) Inc.</t>
  </si>
  <si>
    <t xml:space="preserve">Langley, Victoria.</t>
  </si>
  <si>
    <t xml:space="preserve">Days Prince George Limited Partnership</t>
  </si>
  <si>
    <t xml:space="preserve">Prince George.</t>
  </si>
  <si>
    <t xml:space="preserve">GONDOLA HOLDINGS LTD.</t>
  </si>
  <si>
    <t xml:space="preserve">New Westminster, White Rock.</t>
  </si>
  <si>
    <t xml:space="preserve">Total</t>
  </si>
  <si>
    <t xml:space="preserve">Stores reachable through WARM chains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</si>
</sst>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D2321"/>
      <name val="Arial"/>
      <family val="0"/>
      <charset val="1"/>
    </font>
    <font>
      <i val="true"/>
      <sz val="10"/>
      <color rgb="FF6B7674"/>
      <name val="Arial"/>
      <family val="0"/>
      <charset val="1"/>
    </font>
    <font>
      <i val="true"/>
      <sz val="10"/>
      <color rgb="FF7A5A16"/>
      <name val="Arial"/>
      <family val="0"/>
      <charset val="1"/>
    </font>
    <font>
      <sz val="9"/>
      <color rgb="FF6B767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D2321"/>
      <name val="Arial"/>
      <family val="0"/>
      <charset val="1"/>
    </font>
    <font>
      <sz val="10"/>
      <color rgb="FF1D232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245E6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A8C93"/>
        <bgColor rgb="FF6B7674"/>
      </patternFill>
    </fill>
    <fill>
      <patternFill patternType="solid">
        <fgColor rgb="FFE4F0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A8C93"/>
          <bgColor rgb="FF000000"/>
        </patternFill>
      </fill>
    </dxf>
    <dxf>
      <fill>
        <patternFill patternType="solid">
          <fgColor rgb="FFE4F0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2321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16"/>
      <rgbColor rgb="FF800080"/>
      <rgbColor rgb="FF245E63"/>
      <rgbColor rgb="FFC0C0C0"/>
      <rgbColor rgb="FF6B7674"/>
      <rgbColor rgb="FF9999FF"/>
      <rgbColor rgb="FF993366"/>
      <rgbColor rgb="FFFFFFCC"/>
      <rgbColor rgb="FFE4F0F0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A8C93"/>
      <rgbColor rgb="FF003300"/>
      <rgbColor rgb="FF333300"/>
      <rgbColor rgb="FF993300"/>
      <rgbColor rgb="FF993366"/>
      <rgbColor rgb="FF333399"/>
      <rgbColor rgb="FF1D23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9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52"/>
    <col collapsed="false" customWidth="true" hidden="false" outlineLevel="0" max="12" min="10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6" customFormat="false" ht="30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</row>
    <row r="7" customFormat="false" ht="46.25" hidden="false" customHeight="false" outlineLevel="0" collapsed="false">
      <c r="A7" s="6" t="s">
        <v>16</v>
      </c>
      <c r="B7" s="7" t="n">
        <v>24</v>
      </c>
      <c r="C7" s="7" t="n">
        <v>3</v>
      </c>
      <c r="D7" s="8" t="s">
        <v>17</v>
      </c>
      <c r="E7" s="8" t="s">
        <v>18</v>
      </c>
      <c r="F7" s="8"/>
      <c r="G7" s="8" t="s">
        <v>19</v>
      </c>
      <c r="H7" s="9" t="s">
        <v>20</v>
      </c>
      <c r="I7" s="9" t="s">
        <v>21</v>
      </c>
      <c r="J7" s="8"/>
      <c r="K7" s="8" t="s">
        <v>22</v>
      </c>
      <c r="L7" s="8"/>
    </row>
    <row r="8" customFormat="false" ht="23.85" hidden="false" customHeight="false" outlineLevel="0" collapsed="false">
      <c r="A8" s="6" t="s">
        <v>23</v>
      </c>
      <c r="B8" s="7" t="n">
        <v>12</v>
      </c>
      <c r="C8" s="7" t="n">
        <v>4</v>
      </c>
      <c r="D8" s="8" t="s">
        <v>17</v>
      </c>
      <c r="E8" s="8" t="s">
        <v>24</v>
      </c>
      <c r="F8" s="8" t="s">
        <v>25</v>
      </c>
      <c r="G8" s="8" t="s">
        <v>26</v>
      </c>
      <c r="H8" s="9" t="s">
        <v>27</v>
      </c>
      <c r="I8" s="9" t="s">
        <v>28</v>
      </c>
      <c r="J8" s="8"/>
      <c r="K8" s="8" t="s">
        <v>22</v>
      </c>
      <c r="L8" s="8"/>
    </row>
    <row r="9" customFormat="false" ht="23.85" hidden="false" customHeight="false" outlineLevel="0" collapsed="false">
      <c r="A9" s="6" t="s">
        <v>29</v>
      </c>
      <c r="B9" s="7" t="n">
        <v>5</v>
      </c>
      <c r="C9" s="7" t="n">
        <v>1</v>
      </c>
      <c r="D9" s="8" t="s">
        <v>17</v>
      </c>
      <c r="E9" s="8" t="s">
        <v>30</v>
      </c>
      <c r="F9" s="8"/>
      <c r="G9" s="8" t="s">
        <v>19</v>
      </c>
      <c r="H9" s="9"/>
      <c r="I9" s="9" t="s">
        <v>31</v>
      </c>
      <c r="J9" s="8"/>
      <c r="K9" s="8" t="s">
        <v>22</v>
      </c>
      <c r="L9" s="8"/>
    </row>
    <row r="10" customFormat="false" ht="23.85" hidden="false" customHeight="false" outlineLevel="0" collapsed="false">
      <c r="A10" s="10" t="s">
        <v>32</v>
      </c>
      <c r="B10" s="11" t="n">
        <v>8</v>
      </c>
      <c r="C10" s="11" t="n">
        <v>0</v>
      </c>
      <c r="D10" s="10" t="s">
        <v>33</v>
      </c>
      <c r="E10" s="10" t="s">
        <v>34</v>
      </c>
      <c r="F10" s="10" t="s">
        <v>35</v>
      </c>
      <c r="G10" s="10" t="s">
        <v>36</v>
      </c>
      <c r="H10" s="12" t="s">
        <v>37</v>
      </c>
      <c r="I10" s="12" t="s">
        <v>38</v>
      </c>
      <c r="J10" s="10"/>
      <c r="K10" s="10" t="s">
        <v>22</v>
      </c>
      <c r="L10" s="10"/>
    </row>
    <row r="11" customFormat="false" ht="23.85" hidden="false" customHeight="false" outlineLevel="0" collapsed="false">
      <c r="A11" s="10" t="s">
        <v>39</v>
      </c>
      <c r="B11" s="11" t="n">
        <v>6</v>
      </c>
      <c r="C11" s="11" t="n">
        <v>0</v>
      </c>
      <c r="D11" s="10" t="s">
        <v>33</v>
      </c>
      <c r="E11" s="10"/>
      <c r="F11" s="10"/>
      <c r="G11" s="10" t="s">
        <v>19</v>
      </c>
      <c r="H11" s="12"/>
      <c r="I11" s="12" t="s">
        <v>40</v>
      </c>
      <c r="J11" s="10"/>
      <c r="K11" s="10" t="s">
        <v>22</v>
      </c>
      <c r="L11" s="10"/>
    </row>
    <row r="12" customFormat="false" ht="23.85" hidden="false" customHeight="false" outlineLevel="0" collapsed="false">
      <c r="A12" s="10" t="s">
        <v>41</v>
      </c>
      <c r="B12" s="11" t="n">
        <v>5</v>
      </c>
      <c r="C12" s="11" t="n">
        <v>0</v>
      </c>
      <c r="D12" s="10" t="s">
        <v>33</v>
      </c>
      <c r="E12" s="10"/>
      <c r="F12" s="10"/>
      <c r="G12" s="10" t="s">
        <v>19</v>
      </c>
      <c r="H12" s="12"/>
      <c r="I12" s="12" t="s">
        <v>42</v>
      </c>
      <c r="J12" s="10"/>
      <c r="K12" s="10" t="s">
        <v>22</v>
      </c>
      <c r="L12" s="10"/>
    </row>
    <row r="13" customFormat="false" ht="23.85" hidden="false" customHeight="false" outlineLevel="0" collapsed="false">
      <c r="A13" s="10" t="s">
        <v>43</v>
      </c>
      <c r="B13" s="11" t="n">
        <v>5</v>
      </c>
      <c r="C13" s="11" t="n">
        <v>1</v>
      </c>
      <c r="D13" s="10" t="s">
        <v>33</v>
      </c>
      <c r="E13" s="10" t="s">
        <v>44</v>
      </c>
      <c r="F13" s="10" t="s">
        <v>45</v>
      </c>
      <c r="G13" s="10" t="s">
        <v>26</v>
      </c>
      <c r="H13" s="12" t="s">
        <v>46</v>
      </c>
      <c r="I13" s="12" t="s">
        <v>47</v>
      </c>
      <c r="J13" s="10"/>
      <c r="K13" s="10" t="s">
        <v>22</v>
      </c>
      <c r="L13" s="10"/>
    </row>
    <row r="14" customFormat="false" ht="15" hidden="false" customHeight="false" outlineLevel="0" collapsed="false">
      <c r="A14" s="10" t="s">
        <v>48</v>
      </c>
      <c r="B14" s="11" t="n">
        <v>5</v>
      </c>
      <c r="C14" s="11" t="n">
        <v>0</v>
      </c>
      <c r="D14" s="10" t="s">
        <v>33</v>
      </c>
      <c r="E14" s="10"/>
      <c r="F14" s="10"/>
      <c r="G14" s="10" t="s">
        <v>19</v>
      </c>
      <c r="H14" s="12"/>
      <c r="I14" s="12" t="s">
        <v>49</v>
      </c>
      <c r="J14" s="10"/>
      <c r="K14" s="10" t="s">
        <v>22</v>
      </c>
      <c r="L14" s="10"/>
    </row>
    <row r="15" customFormat="false" ht="15" hidden="false" customHeight="false" outlineLevel="0" collapsed="false">
      <c r="A15" s="10" t="s">
        <v>50</v>
      </c>
      <c r="B15" s="11" t="n">
        <v>5</v>
      </c>
      <c r="C15" s="11" t="n">
        <v>0</v>
      </c>
      <c r="D15" s="10" t="s">
        <v>33</v>
      </c>
      <c r="E15" s="10"/>
      <c r="F15" s="10"/>
      <c r="G15" s="10" t="s">
        <v>19</v>
      </c>
      <c r="H15" s="12"/>
      <c r="I15" s="12" t="s">
        <v>51</v>
      </c>
      <c r="J15" s="10"/>
      <c r="K15" s="10" t="s">
        <v>22</v>
      </c>
      <c r="L15" s="10"/>
    </row>
    <row r="16" customFormat="false" ht="23.85" hidden="false" customHeight="false" outlineLevel="0" collapsed="false">
      <c r="A16" s="10" t="s">
        <v>52</v>
      </c>
      <c r="B16" s="11" t="n">
        <v>2</v>
      </c>
      <c r="C16" s="11" t="n">
        <v>1</v>
      </c>
      <c r="D16" s="10" t="s">
        <v>33</v>
      </c>
      <c r="E16" s="10"/>
      <c r="F16" s="10"/>
      <c r="G16" s="10" t="s">
        <v>19</v>
      </c>
      <c r="H16" s="12"/>
      <c r="I16" s="12" t="s">
        <v>53</v>
      </c>
      <c r="J16" s="10"/>
      <c r="K16" s="10" t="s">
        <v>22</v>
      </c>
      <c r="L16" s="10"/>
    </row>
    <row r="17" customFormat="false" ht="15" hidden="false" customHeight="false" outlineLevel="0" collapsed="false">
      <c r="A17" s="10" t="s">
        <v>54</v>
      </c>
      <c r="B17" s="11" t="n">
        <v>2</v>
      </c>
      <c r="C17" s="11" t="n">
        <v>0</v>
      </c>
      <c r="D17" s="10" t="s">
        <v>33</v>
      </c>
      <c r="E17" s="10"/>
      <c r="F17" s="10"/>
      <c r="G17" s="10" t="s">
        <v>19</v>
      </c>
      <c r="H17" s="12"/>
      <c r="I17" s="12" t="s">
        <v>55</v>
      </c>
      <c r="J17" s="10"/>
      <c r="K17" s="10" t="s">
        <v>22</v>
      </c>
      <c r="L17" s="10"/>
    </row>
    <row r="18" customFormat="false" ht="15" hidden="false" customHeight="false" outlineLevel="0" collapsed="false">
      <c r="A18" s="10" t="s">
        <v>56</v>
      </c>
      <c r="B18" s="11" t="n">
        <v>2</v>
      </c>
      <c r="C18" s="11" t="n">
        <v>0</v>
      </c>
      <c r="D18" s="10" t="s">
        <v>33</v>
      </c>
      <c r="E18" s="10"/>
      <c r="F18" s="10"/>
      <c r="G18" s="10" t="s">
        <v>19</v>
      </c>
      <c r="H18" s="12"/>
      <c r="I18" s="12" t="s">
        <v>57</v>
      </c>
      <c r="J18" s="10"/>
      <c r="K18" s="10" t="s">
        <v>22</v>
      </c>
      <c r="L18" s="10"/>
    </row>
    <row r="19" customFormat="false" ht="15" hidden="false" customHeight="false" outlineLevel="0" collapsed="false">
      <c r="A19" s="10" t="s">
        <v>58</v>
      </c>
      <c r="B19" s="11" t="n">
        <v>2</v>
      </c>
      <c r="C19" s="11" t="n">
        <v>0</v>
      </c>
      <c r="D19" s="10" t="s">
        <v>33</v>
      </c>
      <c r="E19" s="10"/>
      <c r="F19" s="10"/>
      <c r="G19" s="10" t="s">
        <v>19</v>
      </c>
      <c r="H19" s="12"/>
      <c r="I19" s="12" t="s">
        <v>59</v>
      </c>
      <c r="J19" s="10"/>
      <c r="K19" s="10" t="s">
        <v>22</v>
      </c>
      <c r="L19" s="10"/>
    </row>
    <row r="20" customFormat="false" ht="15" hidden="false" customHeight="false" outlineLevel="0" collapsed="false">
      <c r="A20" s="10" t="s">
        <v>60</v>
      </c>
      <c r="B20" s="11" t="n">
        <v>2</v>
      </c>
      <c r="C20" s="11" t="n">
        <v>0</v>
      </c>
      <c r="D20" s="10" t="s">
        <v>33</v>
      </c>
      <c r="E20" s="10"/>
      <c r="F20" s="10"/>
      <c r="G20" s="10" t="s">
        <v>19</v>
      </c>
      <c r="H20" s="12"/>
      <c r="I20" s="12" t="s">
        <v>61</v>
      </c>
      <c r="J20" s="10"/>
      <c r="K20" s="10" t="s">
        <v>22</v>
      </c>
      <c r="L20" s="10"/>
    </row>
    <row r="21" customFormat="false" ht="15" hidden="false" customHeight="false" outlineLevel="0" collapsed="false">
      <c r="A21" s="10" t="s">
        <v>62</v>
      </c>
      <c r="B21" s="11" t="n">
        <v>2</v>
      </c>
      <c r="C21" s="11" t="n">
        <v>0</v>
      </c>
      <c r="D21" s="10" t="s">
        <v>33</v>
      </c>
      <c r="E21" s="10"/>
      <c r="F21" s="10"/>
      <c r="G21" s="10" t="s">
        <v>19</v>
      </c>
      <c r="H21" s="12"/>
      <c r="I21" s="12" t="s">
        <v>63</v>
      </c>
      <c r="J21" s="10"/>
      <c r="K21" s="10" t="s">
        <v>22</v>
      </c>
      <c r="L21" s="10"/>
    </row>
    <row r="22" customFormat="false" ht="15" hidden="false" customHeight="false" outlineLevel="0" collapsed="false">
      <c r="A22" s="10" t="s">
        <v>64</v>
      </c>
      <c r="B22" s="11" t="n">
        <v>2</v>
      </c>
      <c r="C22" s="11" t="n">
        <v>0</v>
      </c>
      <c r="D22" s="10" t="s">
        <v>33</v>
      </c>
      <c r="E22" s="10"/>
      <c r="F22" s="10"/>
      <c r="G22" s="10" t="s">
        <v>19</v>
      </c>
      <c r="H22" s="12"/>
      <c r="I22" s="12" t="s">
        <v>65</v>
      </c>
      <c r="J22" s="10"/>
      <c r="K22" s="10" t="s">
        <v>22</v>
      </c>
      <c r="L22" s="10"/>
    </row>
    <row r="23" customFormat="false" ht="15" hidden="false" customHeight="false" outlineLevel="0" collapsed="false">
      <c r="A23" s="10" t="s">
        <v>66</v>
      </c>
      <c r="B23" s="11" t="n">
        <v>2</v>
      </c>
      <c r="C23" s="11" t="n">
        <v>0</v>
      </c>
      <c r="D23" s="10" t="s">
        <v>33</v>
      </c>
      <c r="E23" s="10"/>
      <c r="F23" s="10"/>
      <c r="G23" s="10" t="s">
        <v>19</v>
      </c>
      <c r="H23" s="12"/>
      <c r="I23" s="12" t="s">
        <v>67</v>
      </c>
      <c r="J23" s="10"/>
      <c r="K23" s="10" t="s">
        <v>22</v>
      </c>
      <c r="L23" s="10"/>
    </row>
    <row r="24" customFormat="false" ht="15" hidden="false" customHeight="false" outlineLevel="0" collapsed="false">
      <c r="A24" s="10" t="s">
        <v>68</v>
      </c>
      <c r="B24" s="11" t="n">
        <v>2</v>
      </c>
      <c r="C24" s="11" t="n">
        <v>0</v>
      </c>
      <c r="D24" s="10" t="s">
        <v>33</v>
      </c>
      <c r="E24" s="10"/>
      <c r="F24" s="10"/>
      <c r="G24" s="10" t="s">
        <v>19</v>
      </c>
      <c r="H24" s="12"/>
      <c r="I24" s="12" t="s">
        <v>69</v>
      </c>
      <c r="J24" s="10"/>
      <c r="K24" s="10" t="s">
        <v>22</v>
      </c>
      <c r="L24" s="10"/>
    </row>
    <row r="25" customFormat="false" ht="15" hidden="false" customHeight="false" outlineLevel="0" collapsed="false">
      <c r="A25" s="10" t="s">
        <v>70</v>
      </c>
      <c r="B25" s="11" t="n">
        <v>2</v>
      </c>
      <c r="C25" s="11" t="n">
        <v>0</v>
      </c>
      <c r="D25" s="10" t="s">
        <v>33</v>
      </c>
      <c r="E25" s="10"/>
      <c r="F25" s="10"/>
      <c r="G25" s="10" t="s">
        <v>19</v>
      </c>
      <c r="H25" s="12"/>
      <c r="I25" s="12" t="s">
        <v>71</v>
      </c>
      <c r="J25" s="10"/>
      <c r="K25" s="10" t="s">
        <v>22</v>
      </c>
      <c r="L25" s="10"/>
    </row>
    <row r="26" customFormat="false" ht="15" hidden="false" customHeight="false" outlineLevel="0" collapsed="false">
      <c r="A26" s="10" t="s">
        <v>72</v>
      </c>
      <c r="B26" s="11" t="n">
        <v>2</v>
      </c>
      <c r="C26" s="11" t="n">
        <v>0</v>
      </c>
      <c r="D26" s="10" t="s">
        <v>33</v>
      </c>
      <c r="E26" s="10"/>
      <c r="F26" s="10"/>
      <c r="G26" s="10" t="s">
        <v>19</v>
      </c>
      <c r="H26" s="12"/>
      <c r="I26" s="12" t="s">
        <v>73</v>
      </c>
      <c r="J26" s="10"/>
      <c r="K26" s="10" t="s">
        <v>22</v>
      </c>
      <c r="L26" s="10"/>
    </row>
    <row r="27" customFormat="false" ht="15" hidden="false" customHeight="false" outlineLevel="0" collapsed="false">
      <c r="A27" s="10" t="s">
        <v>74</v>
      </c>
      <c r="B27" s="11" t="n">
        <v>2</v>
      </c>
      <c r="C27" s="11" t="n">
        <v>0</v>
      </c>
      <c r="D27" s="10" t="s">
        <v>33</v>
      </c>
      <c r="E27" s="10"/>
      <c r="F27" s="10"/>
      <c r="G27" s="10" t="s">
        <v>19</v>
      </c>
      <c r="H27" s="12"/>
      <c r="I27" s="12" t="s">
        <v>75</v>
      </c>
      <c r="J27" s="10"/>
      <c r="K27" s="10" t="s">
        <v>22</v>
      </c>
      <c r="L27" s="10"/>
    </row>
    <row r="28" customFormat="false" ht="15" hidden="false" customHeight="false" outlineLevel="0" collapsed="false">
      <c r="A28" s="10" t="s">
        <v>76</v>
      </c>
      <c r="B28" s="11" t="n">
        <v>2</v>
      </c>
      <c r="C28" s="11" t="n">
        <v>0</v>
      </c>
      <c r="D28" s="10" t="s">
        <v>33</v>
      </c>
      <c r="E28" s="10"/>
      <c r="F28" s="10"/>
      <c r="G28" s="10" t="s">
        <v>19</v>
      </c>
      <c r="H28" s="12"/>
      <c r="I28" s="12" t="s">
        <v>77</v>
      </c>
      <c r="J28" s="10"/>
      <c r="K28" s="10" t="s">
        <v>22</v>
      </c>
      <c r="L28" s="10"/>
    </row>
    <row r="29" customFormat="false" ht="15" hidden="false" customHeight="false" outlineLevel="0" collapsed="false">
      <c r="A29" s="10" t="s">
        <v>78</v>
      </c>
      <c r="B29" s="11" t="n">
        <v>2</v>
      </c>
      <c r="C29" s="11" t="n">
        <v>0</v>
      </c>
      <c r="D29" s="10" t="s">
        <v>33</v>
      </c>
      <c r="E29" s="10"/>
      <c r="F29" s="10"/>
      <c r="G29" s="10" t="s">
        <v>19</v>
      </c>
      <c r="H29" s="12"/>
      <c r="I29" s="12" t="s">
        <v>79</v>
      </c>
      <c r="J29" s="10"/>
      <c r="K29" s="10" t="s">
        <v>22</v>
      </c>
      <c r="L29" s="10"/>
    </row>
    <row r="30" customFormat="false" ht="15" hidden="false" customHeight="false" outlineLevel="0" collapsed="false">
      <c r="A30" s="10" t="s">
        <v>80</v>
      </c>
      <c r="B30" s="11" t="n">
        <v>2</v>
      </c>
      <c r="C30" s="11" t="n">
        <v>0</v>
      </c>
      <c r="D30" s="10" t="s">
        <v>33</v>
      </c>
      <c r="E30" s="10"/>
      <c r="F30" s="10"/>
      <c r="G30" s="10" t="s">
        <v>19</v>
      </c>
      <c r="H30" s="12"/>
      <c r="I30" s="12" t="s">
        <v>81</v>
      </c>
      <c r="J30" s="10"/>
      <c r="K30" s="10" t="s">
        <v>22</v>
      </c>
      <c r="L30" s="10"/>
    </row>
    <row r="32" customFormat="false" ht="15" hidden="false" customHeight="false" outlineLevel="0" collapsed="false">
      <c r="A32" s="13" t="s">
        <v>82</v>
      </c>
      <c r="B32" s="14" t="n">
        <f aca="false">SUM(B7:B30)</f>
        <v>105</v>
      </c>
      <c r="C32" s="14" t="n">
        <f aca="false">SUM(C7:C30)</f>
        <v>10</v>
      </c>
    </row>
    <row r="33" customFormat="false" ht="15" hidden="false" customHeight="false" outlineLevel="0" collapsed="false">
      <c r="A33" s="15" t="s">
        <v>83</v>
      </c>
      <c r="B33" s="16" t="n">
        <f aca="false">SUMIF(D7:D30,"Expand existing listing",B7:B30)</f>
        <v>41</v>
      </c>
    </row>
  </sheetData>
  <autoFilter ref="A6:L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2026-09-15T00:08:09Z</dcterms:created>
  <dc:creator>openpyxl</dc:creator>
  <dc:description/>
  <dc:language>en-US</dc:language>
  <cp:lastModifiedBy/>
  <dcterms:modified xsi:type="dcterms:W3CDTF">2026-09-15T00:08:09Z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